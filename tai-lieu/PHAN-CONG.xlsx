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hân công" state="visible" r:id="rId4"/>
    <sheet sheetId="2" name="Commit" state="visible" r:id="rId5"/>
  </sheets>
  <calcPr calcId="171027"/>
</workbook>
</file>

<file path=xl/sharedStrings.xml><?xml version="1.0" encoding="utf-8"?>
<sst xmlns="http://schemas.openxmlformats.org/spreadsheetml/2006/main" count="155" uniqueCount="97">
  <si>
    <t>BẢNG PHÂN CÔNG NHÓM 2 - QUẢN LÝ QUÁN CÀ PHÊ</t>
  </si>
  <si>
    <t>Số commit đếm tự động từ sheet Commit. Tỷ lệ đóng góp do nhóm thống nhất, tổng phải bằng 100%.</t>
  </si>
  <si>
    <t>STT</t>
  </si>
  <si>
    <t>Họ tên</t>
  </si>
  <si>
    <t>MSSV</t>
  </si>
  <si>
    <t>Mảng phụ trách</t>
  </si>
  <si>
    <t>Phần việc cụ thể</t>
  </si>
  <si>
    <t>Số commit</t>
  </si>
  <si>
    <t>% commit</t>
  </si>
  <si>
    <t>Tỷ lệ đóng góp</t>
  </si>
  <si>
    <t>Nguyễn Văn Đại</t>
  </si>
  <si>
    <t>NBS2503ITA0040</t>
  </si>
  <si>
    <t>Kiến trúc</t>
  </si>
  <si>
    <t>Lớp trừu tượng Mon, interface TinhTien, ghép các phần vào Main, sơ đồ UML, README và báo cáo</t>
  </si>
  <si>
    <t>Trương Thị Tú Vinh</t>
  </si>
  <si>
    <t>NBS2503ITA0066</t>
  </si>
  <si>
    <t>Lớp con của Mon</t>
  </si>
  <si>
    <t>Cây kế thừa với 03 lớp con DoAn, DoUong, Combo và lớp MonFactory tạo món theo loại</t>
  </si>
  <si>
    <t>Hoàng Đặng Diệu Linh</t>
  </si>
  <si>
    <t>NBS2503ITA0042</t>
  </si>
  <si>
    <t>Lớp thực thể</t>
  </si>
  <si>
    <t>Lớp Ban, KhachHang, HoaDon và ChiTietHoaDon cùng quan hệ kết tập và hợp thành</t>
  </si>
  <si>
    <t>Phạm Lê Xuân Thái</t>
  </si>
  <si>
    <t>NBS2503ITA0035</t>
  </si>
  <si>
    <t>Nghiệp vụ</t>
  </si>
  <si>
    <t>Mẫu Strategy giảm giá (GiamGia, KhongGiam, GiamThanhVien) và lớp nghiệp vụ QuanCafe dạng Singleton với chức năng thêm, xóa, tìm, thống kê</t>
  </si>
  <si>
    <t>Nguyễn Ngọc Quang</t>
  </si>
  <si>
    <t>NBS2503ITA0050</t>
  </si>
  <si>
    <t>Ngoại lệ và lưu trữ</t>
  </si>
  <si>
    <t>Hai lớp ngoại lệ riêng, lớp NhapLieu xử lý nhập sai, lớp DocGhiFile lưu dữ liệu ra file CSV và bộ dữ liệu mẫu</t>
  </si>
  <si>
    <t/>
  </si>
  <si>
    <t>Tổng cộng</t>
  </si>
  <si>
    <t>Kiểm tra</t>
  </si>
  <si>
    <t>DANH SÁCH COMMIT THEO ĐỢT</t>
  </si>
  <si>
    <t>Cả nhóm commit theo đúng thứ tự STT. Các bước chi tiết nằm trong file KICH-BAN-COMMIT.docx.</t>
  </si>
  <si>
    <t>Đợt</t>
  </si>
  <si>
    <t>Thành viên</t>
  </si>
  <si>
    <t>File</t>
  </si>
  <si>
    <t>Thông điệp commit</t>
  </si>
  <si>
    <t>Đợt 1 - Khung</t>
  </si>
  <si>
    <t>.gitignore, README.md</t>
  </si>
  <si>
    <t>Tạo project, thêm README và .gitignore</t>
  </si>
  <si>
    <t>src/ngoaile/DuLieuSaiException.java</t>
  </si>
  <si>
    <t>Thêm DuLieuSaiException báo lỗi dữ liệu nhập sai</t>
  </si>
  <si>
    <t>src/ngoaile/KhongTimThayException.java</t>
  </si>
  <si>
    <t>Thêm KhongTimThayException khi tìm mã không có</t>
  </si>
  <si>
    <t>src/model/GiamGia.java</t>
  </si>
  <si>
    <t>Thêm interface GiamGia để áp dụng Strategy giảm giá</t>
  </si>
  <si>
    <t>src/model/TinhTien.java</t>
  </si>
  <si>
    <t>Thêm interface TinhTien có default method dinhDangTien</t>
  </si>
  <si>
    <t>src/model/Mon.java</t>
  </si>
  <si>
    <t>Thêm lớp trừu tượng Mon và 3 phương thức trừu tượng</t>
  </si>
  <si>
    <t>Đợt 2 - Lớp thực thể</t>
  </si>
  <si>
    <t>src/model/DoAn.java</t>
  </si>
  <si>
    <t>Thêm lớp DoAn kế thừa Mon</t>
  </si>
  <si>
    <t>src/model/DoUong.java</t>
  </si>
  <si>
    <t>Thêm lớp DoUong, cộng phụ thu theo size M và L</t>
  </si>
  <si>
    <t>src/model/Combo.java</t>
  </si>
  <si>
    <t>Thêm lớp Combo giảm 10% giá</t>
  </si>
  <si>
    <t>src/model/MonFactory.java</t>
  </si>
  <si>
    <t>Áp dụng Factory tạo món theo loại</t>
  </si>
  <si>
    <t>src/model/KhongGiam.java</t>
  </si>
  <si>
    <t>Thêm KhongGiam cho khách vãng lai</t>
  </si>
  <si>
    <t>src/model/GiamThanhVien.java</t>
  </si>
  <si>
    <t>Áp dụng Strategy giảm 10% cho khách thành viên</t>
  </si>
  <si>
    <t>src/model/Ban.java</t>
  </si>
  <si>
    <t>Thêm lớp Ban, kiểm tra số chỗ từ 1 đến 20</t>
  </si>
  <si>
    <t>src/model/KhachHang.java</t>
  </si>
  <si>
    <t>Thêm lớp KhachHang, kiểm tra SĐT và tích điểm</t>
  </si>
  <si>
    <t>src/model/ChiTietHoaDon.java</t>
  </si>
  <si>
    <t>Thêm lớp ChiTietHoaDon</t>
  </si>
  <si>
    <t>src/model/HoaDon.java (phần 1)</t>
  </si>
  <si>
    <t>Thêm lớp HoaDon, gọi món và bớt món</t>
  </si>
  <si>
    <t>src/model/HoaDon.java (đầy đủ)</t>
  </si>
  <si>
    <t>Bổ sung tính tiền và thanh toán cho HoaDon</t>
  </si>
  <si>
    <t>Đợt 3 - Nghiệp vụ, lưu trữ</t>
  </si>
  <si>
    <t>src/NhapLieu.java</t>
  </si>
  <si>
    <t>Thêm lớp NhapLieu, nhập chữ vào ô số không bị dừng chương trình</t>
  </si>
  <si>
    <t>src/dichvu/DocGhiFile.java</t>
  </si>
  <si>
    <t>Thêm DocGhiFile đọc ghi dữ liệu ra file CSV</t>
  </si>
  <si>
    <t>data/*.csv</t>
  </si>
  <si>
    <t>Thêm dữ liệu mẫu cho món, bàn, khách, hóa đơn</t>
  </si>
  <si>
    <t>src/dichvu/QuanCafe.java (phần 1)</t>
  </si>
  <si>
    <t>Thêm QuanCafe dạng Singleton, quản lý món và bàn</t>
  </si>
  <si>
    <t>src/dichvu/QuanCafe.java (phần 2)</t>
  </si>
  <si>
    <t>Bổ sung quản lý khách hàng và hóa đơn</t>
  </si>
  <si>
    <t>src/dichvu/QuanCafe.java (đầy đủ)</t>
  </si>
  <si>
    <t>Thêm thống kê top 5 món bán chạy và doanh thu theo tháng</t>
  </si>
  <si>
    <t>Đợt 4 - Ghép Main, hoàn thiện</t>
  </si>
  <si>
    <t>src/Main.java (phần 1)</t>
  </si>
  <si>
    <t>Viết menu chính, nối phần quản lý món, bàn, khách hàng</t>
  </si>
  <si>
    <t>src/Main.java (đầy đủ)</t>
  </si>
  <si>
    <t>Nối menu hóa đơn và thống kê vào Main</t>
  </si>
  <si>
    <t>uml/class-diagram.png</t>
  </si>
  <si>
    <t>Thêm sơ đồ lớp UML</t>
  </si>
  <si>
    <t>README.md, tai-lieu/</t>
  </si>
  <si>
    <t>Cập nhật README hướng dẫn chạy, thêm báo cáo, slide và bảng phân công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</si>
</sst>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1565C0"/>
      <sz val="15"/>
      <name val="Times New Roman"/>
    </font>
    <font>
      <i/>
      <color rgb="FF595959"/>
      <sz val="11"/>
      <name val="Times New Roman"/>
    </font>
    <font>
      <b/>
      <color rgb="FFFFFFFF"/>
      <sz val="12"/>
      <name val="Times New Roman"/>
    </font>
    <font>
      <color rgb="FF1A1A1A"/>
      <sz val="12"/>
      <name val="Times New Roman"/>
    </font>
    <font>
      <b/>
      <color rgb="FF1A1A1A"/>
      <sz val="12"/>
      <name val="Times New Roman"/>
    </font>
    <font>
      <i/>
      <color rgb="FF0D47A1"/>
      <sz val="11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1565C0"/>
      </patternFill>
    </fill>
    <fill>
      <patternFill patternType="solid">
        <fgColor rgb="FFF5F5F5"/>
      </patternFill>
    </fill>
    <fill>
      <patternFill patternType="solid">
        <fgColor rgb="FFDDDDDD"/>
      </patternFill>
    </fill>
  </fills>
  <borders count="2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right" vertical="center"/>
    </xf>
    <xf numFmtId="9" fontId="4" fillId="0" borderId="1" xfId="0" applyNumberFormat="1" applyFont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right" vertical="center"/>
    </xf>
    <xf numFmtId="9" fontId="4" fillId="3" borderId="1" xfId="0" applyNumberFormat="1" applyFont="1" applyFill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right" vertical="center"/>
    </xf>
    <xf numFmtId="9" fontId="5" fillId="4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0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24" customWidth="1"/>
    <col min="3" max="3" width="18" customWidth="1"/>
    <col min="4" max="4" width="24" customWidth="1"/>
    <col min="5" max="5" width="50" customWidth="1"/>
    <col min="6" max="7" width="11" customWidth="1"/>
    <col min="8" max="8" width="13" customWidth="1"/>
  </cols>
  <sheetData>
    <row r="1" ht="28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1" x14ac:dyDescent="0.25">
      <c r="A2" s="2" t="s">
        <v>1</v>
      </c>
    </row>
    <row r="3" ht="30" customHeight="1" spans="1:8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</row>
    <row r="4" ht="50" customHeight="1" spans="1:8" x14ac:dyDescent="0.25">
      <c r="A4" s="4">
        <v>1</v>
      </c>
      <c r="B4" s="5" t="s">
        <v>10</v>
      </c>
      <c r="C4" s="4" t="s">
        <v>11</v>
      </c>
      <c r="D4" s="5" t="s">
        <v>12</v>
      </c>
      <c r="E4" s="5" t="s">
        <v>13</v>
      </c>
      <c r="F4" s="6">
        <f>COUNTIF(Commit!$C$4:$C$30,B4)</f>
      </c>
      <c r="G4" s="7">
        <f>IF($F$9=0,0,F4/$F$9)</f>
      </c>
      <c r="H4" s="7">
        <v>0.22</v>
      </c>
    </row>
    <row r="5" ht="50" customHeight="1" spans="1:8" x14ac:dyDescent="0.25">
      <c r="A5" s="8">
        <v>2</v>
      </c>
      <c r="B5" s="9" t="s">
        <v>14</v>
      </c>
      <c r="C5" s="8" t="s">
        <v>15</v>
      </c>
      <c r="D5" s="9" t="s">
        <v>16</v>
      </c>
      <c r="E5" s="9" t="s">
        <v>17</v>
      </c>
      <c r="F5" s="10">
        <f>COUNTIF(Commit!$C$4:$C$30,B5)</f>
      </c>
      <c r="G5" s="11">
        <f>IF($F$9=0,0,F5/$F$9)</f>
      </c>
      <c r="H5" s="11">
        <v>0.19</v>
      </c>
    </row>
    <row r="6" ht="50" customHeight="1" spans="1:8" x14ac:dyDescent="0.25">
      <c r="A6" s="4">
        <v>3</v>
      </c>
      <c r="B6" s="5" t="s">
        <v>18</v>
      </c>
      <c r="C6" s="4" t="s">
        <v>19</v>
      </c>
      <c r="D6" s="5" t="s">
        <v>20</v>
      </c>
      <c r="E6" s="5" t="s">
        <v>21</v>
      </c>
      <c r="F6" s="6">
        <f>COUNTIF(Commit!$C$4:$C$30,B6)</f>
      </c>
      <c r="G6" s="7">
        <f>IF($F$9=0,0,F6/$F$9)</f>
      </c>
      <c r="H6" s="7">
        <v>0.19</v>
      </c>
    </row>
    <row r="7" ht="50" customHeight="1" spans="1:8" x14ac:dyDescent="0.25">
      <c r="A7" s="8">
        <v>4</v>
      </c>
      <c r="B7" s="9" t="s">
        <v>22</v>
      </c>
      <c r="C7" s="8" t="s">
        <v>23</v>
      </c>
      <c r="D7" s="9" t="s">
        <v>24</v>
      </c>
      <c r="E7" s="9" t="s">
        <v>25</v>
      </c>
      <c r="F7" s="10">
        <f>COUNTIF(Commit!$C$4:$C$30,B7)</f>
      </c>
      <c r="G7" s="11">
        <f>IF($F$9=0,0,F7/$F$9)</f>
      </c>
      <c r="H7" s="11">
        <v>0.2</v>
      </c>
    </row>
    <row r="8" ht="50" customHeight="1" spans="1:8" x14ac:dyDescent="0.25">
      <c r="A8" s="4">
        <v>5</v>
      </c>
      <c r="B8" s="5" t="s">
        <v>26</v>
      </c>
      <c r="C8" s="4" t="s">
        <v>27</v>
      </c>
      <c r="D8" s="5" t="s">
        <v>28</v>
      </c>
      <c r="E8" s="5" t="s">
        <v>29</v>
      </c>
      <c r="F8" s="6">
        <f>COUNTIF(Commit!$C$4:$C$30,B8)</f>
      </c>
      <c r="G8" s="7">
        <f>IF($F$9=0,0,F8/$F$9)</f>
      </c>
      <c r="H8" s="7">
        <v>0.2</v>
      </c>
    </row>
    <row r="9" spans="1:8" x14ac:dyDescent="0.25">
      <c r="A9" s="12" t="s">
        <v>30</v>
      </c>
      <c r="B9" s="12" t="s">
        <v>31</v>
      </c>
      <c r="C9" s="12" t="s">
        <v>30</v>
      </c>
      <c r="D9" s="12" t="s">
        <v>30</v>
      </c>
      <c r="E9" s="12" t="s">
        <v>30</v>
      </c>
      <c r="F9" s="13">
        <f>SUM(F4:F8)</f>
      </c>
      <c r="G9" s="14">
        <f>SUM(G4:G8)</f>
      </c>
      <c r="H9" s="14">
        <f>SUM(H4:H8)</f>
      </c>
    </row>
    <row r="10" spans="1:8" x14ac:dyDescent="0.25">
      <c r="A10" s="15" t="s">
        <v>30</v>
      </c>
      <c r="B10" s="15" t="s">
        <v>32</v>
      </c>
      <c r="C10" s="15" t="s">
        <v>30</v>
      </c>
      <c r="D10" s="15" t="s">
        <v>30</v>
      </c>
      <c r="E10" s="15" t="s">
        <v>30</v>
      </c>
      <c r="F10" s="16">
        <f>IF(F9&gt;=25,"Đạt, từ 25 commit trở lên","Chưa đủ 25 commit")</f>
      </c>
      <c r="G10" s="16"/>
      <c r="H10" s="16">
        <f>IF(ROUND(H9,4)=1,"Đủ 100%","Chưa đủ 100%")</f>
      </c>
    </row>
  </sheetData>
  <mergeCells count="2">
    <mergeCell ref="A1:H1"/>
    <mergeCell ref="F10:G10"/>
  </mergeCells>
  <pageSetup paperSize="9" orientation="landscape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30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26" customWidth="1"/>
    <col min="3" max="3" width="24" customWidth="1"/>
    <col min="4" max="4" width="38" customWidth="1"/>
    <col min="5" max="5" width="52" customWidth="1"/>
  </cols>
  <sheetData>
    <row r="1" ht="28" customHeight="1" spans="1:5" x14ac:dyDescent="0.25">
      <c r="A1" s="1" t="s">
        <v>33</v>
      </c>
      <c r="B1" s="1"/>
      <c r="C1" s="1"/>
      <c r="D1" s="1"/>
      <c r="E1" s="1"/>
    </row>
    <row r="2" spans="1:1" x14ac:dyDescent="0.25">
      <c r="A2" s="2" t="s">
        <v>34</v>
      </c>
    </row>
    <row r="3" ht="30" customHeight="1" spans="1:5" x14ac:dyDescent="0.25">
      <c r="A3" s="3" t="s">
        <v>2</v>
      </c>
      <c r="B3" s="3" t="s">
        <v>35</v>
      </c>
      <c r="C3" s="3" t="s">
        <v>36</v>
      </c>
      <c r="D3" s="3" t="s">
        <v>37</v>
      </c>
      <c r="E3" s="3" t="s">
        <v>38</v>
      </c>
    </row>
    <row r="4" spans="1:5" x14ac:dyDescent="0.25">
      <c r="A4" s="4">
        <v>1</v>
      </c>
      <c r="B4" s="5" t="s">
        <v>39</v>
      </c>
      <c r="C4" s="5" t="s">
        <v>10</v>
      </c>
      <c r="D4" s="5" t="s">
        <v>40</v>
      </c>
      <c r="E4" s="5" t="s">
        <v>41</v>
      </c>
    </row>
    <row r="5" spans="1:5" x14ac:dyDescent="0.25">
      <c r="A5" s="8">
        <v>2</v>
      </c>
      <c r="B5" s="9" t="s">
        <v>39</v>
      </c>
      <c r="C5" s="9" t="s">
        <v>26</v>
      </c>
      <c r="D5" s="9" t="s">
        <v>42</v>
      </c>
      <c r="E5" s="9" t="s">
        <v>43</v>
      </c>
    </row>
    <row r="6" spans="1:5" x14ac:dyDescent="0.25">
      <c r="A6" s="4">
        <v>3</v>
      </c>
      <c r="B6" s="5" t="s">
        <v>39</v>
      </c>
      <c r="C6" s="5" t="s">
        <v>26</v>
      </c>
      <c r="D6" s="5" t="s">
        <v>44</v>
      </c>
      <c r="E6" s="5" t="s">
        <v>45</v>
      </c>
    </row>
    <row r="7" spans="1:5" x14ac:dyDescent="0.25">
      <c r="A7" s="8">
        <v>4</v>
      </c>
      <c r="B7" s="9" t="s">
        <v>39</v>
      </c>
      <c r="C7" s="9" t="s">
        <v>22</v>
      </c>
      <c r="D7" s="9" t="s">
        <v>46</v>
      </c>
      <c r="E7" s="9" t="s">
        <v>47</v>
      </c>
    </row>
    <row r="8" spans="1:5" x14ac:dyDescent="0.25">
      <c r="A8" s="4">
        <v>5</v>
      </c>
      <c r="B8" s="5" t="s">
        <v>39</v>
      </c>
      <c r="C8" s="5" t="s">
        <v>10</v>
      </c>
      <c r="D8" s="5" t="s">
        <v>48</v>
      </c>
      <c r="E8" s="5" t="s">
        <v>49</v>
      </c>
    </row>
    <row r="9" spans="1:5" x14ac:dyDescent="0.25">
      <c r="A9" s="8">
        <v>6</v>
      </c>
      <c r="B9" s="9" t="s">
        <v>39</v>
      </c>
      <c r="C9" s="9" t="s">
        <v>10</v>
      </c>
      <c r="D9" s="9" t="s">
        <v>50</v>
      </c>
      <c r="E9" s="9" t="s">
        <v>51</v>
      </c>
    </row>
    <row r="10" spans="1:5" x14ac:dyDescent="0.25">
      <c r="A10" s="4">
        <v>7</v>
      </c>
      <c r="B10" s="5" t="s">
        <v>52</v>
      </c>
      <c r="C10" s="5" t="s">
        <v>14</v>
      </c>
      <c r="D10" s="5" t="s">
        <v>53</v>
      </c>
      <c r="E10" s="5" t="s">
        <v>54</v>
      </c>
    </row>
    <row r="11" spans="1:5" x14ac:dyDescent="0.25">
      <c r="A11" s="8">
        <v>8</v>
      </c>
      <c r="B11" s="9" t="s">
        <v>52</v>
      </c>
      <c r="C11" s="9" t="s">
        <v>14</v>
      </c>
      <c r="D11" s="9" t="s">
        <v>55</v>
      </c>
      <c r="E11" s="9" t="s">
        <v>56</v>
      </c>
    </row>
    <row r="12" spans="1:5" x14ac:dyDescent="0.25">
      <c r="A12" s="4">
        <v>9</v>
      </c>
      <c r="B12" s="5" t="s">
        <v>52</v>
      </c>
      <c r="C12" s="5" t="s">
        <v>14</v>
      </c>
      <c r="D12" s="5" t="s">
        <v>57</v>
      </c>
      <c r="E12" s="5" t="s">
        <v>58</v>
      </c>
    </row>
    <row r="13" spans="1:5" x14ac:dyDescent="0.25">
      <c r="A13" s="8">
        <v>10</v>
      </c>
      <c r="B13" s="9" t="s">
        <v>52</v>
      </c>
      <c r="C13" s="9" t="s">
        <v>14</v>
      </c>
      <c r="D13" s="9" t="s">
        <v>59</v>
      </c>
      <c r="E13" s="9" t="s">
        <v>60</v>
      </c>
    </row>
    <row r="14" spans="1:5" x14ac:dyDescent="0.25">
      <c r="A14" s="4">
        <v>11</v>
      </c>
      <c r="B14" s="5" t="s">
        <v>52</v>
      </c>
      <c r="C14" s="5" t="s">
        <v>22</v>
      </c>
      <c r="D14" s="5" t="s">
        <v>61</v>
      </c>
      <c r="E14" s="5" t="s">
        <v>62</v>
      </c>
    </row>
    <row r="15" spans="1:5" x14ac:dyDescent="0.25">
      <c r="A15" s="8">
        <v>12</v>
      </c>
      <c r="B15" s="9" t="s">
        <v>52</v>
      </c>
      <c r="C15" s="9" t="s">
        <v>22</v>
      </c>
      <c r="D15" s="9" t="s">
        <v>63</v>
      </c>
      <c r="E15" s="9" t="s">
        <v>64</v>
      </c>
    </row>
    <row r="16" spans="1:5" x14ac:dyDescent="0.25">
      <c r="A16" s="4">
        <v>13</v>
      </c>
      <c r="B16" s="5" t="s">
        <v>52</v>
      </c>
      <c r="C16" s="5" t="s">
        <v>18</v>
      </c>
      <c r="D16" s="5" t="s">
        <v>65</v>
      </c>
      <c r="E16" s="5" t="s">
        <v>66</v>
      </c>
    </row>
    <row r="17" spans="1:5" x14ac:dyDescent="0.25">
      <c r="A17" s="8">
        <v>14</v>
      </c>
      <c r="B17" s="9" t="s">
        <v>52</v>
      </c>
      <c r="C17" s="9" t="s">
        <v>18</v>
      </c>
      <c r="D17" s="9" t="s">
        <v>67</v>
      </c>
      <c r="E17" s="9" t="s">
        <v>68</v>
      </c>
    </row>
    <row r="18" spans="1:5" x14ac:dyDescent="0.25">
      <c r="A18" s="4">
        <v>15</v>
      </c>
      <c r="B18" s="5" t="s">
        <v>52</v>
      </c>
      <c r="C18" s="5" t="s">
        <v>18</v>
      </c>
      <c r="D18" s="5" t="s">
        <v>69</v>
      </c>
      <c r="E18" s="5" t="s">
        <v>70</v>
      </c>
    </row>
    <row r="19" spans="1:5" x14ac:dyDescent="0.25">
      <c r="A19" s="8">
        <v>16</v>
      </c>
      <c r="B19" s="9" t="s">
        <v>52</v>
      </c>
      <c r="C19" s="9" t="s">
        <v>18</v>
      </c>
      <c r="D19" s="9" t="s">
        <v>71</v>
      </c>
      <c r="E19" s="9" t="s">
        <v>72</v>
      </c>
    </row>
    <row r="20" spans="1:5" x14ac:dyDescent="0.25">
      <c r="A20" s="4">
        <v>17</v>
      </c>
      <c r="B20" s="5" t="s">
        <v>52</v>
      </c>
      <c r="C20" s="5" t="s">
        <v>18</v>
      </c>
      <c r="D20" s="5" t="s">
        <v>73</v>
      </c>
      <c r="E20" s="5" t="s">
        <v>74</v>
      </c>
    </row>
    <row r="21" spans="1:5" x14ac:dyDescent="0.25">
      <c r="A21" s="8">
        <v>18</v>
      </c>
      <c r="B21" s="9" t="s">
        <v>75</v>
      </c>
      <c r="C21" s="9" t="s">
        <v>26</v>
      </c>
      <c r="D21" s="9" t="s">
        <v>76</v>
      </c>
      <c r="E21" s="9" t="s">
        <v>77</v>
      </c>
    </row>
    <row r="22" spans="1:5" x14ac:dyDescent="0.25">
      <c r="A22" s="4">
        <v>19</v>
      </c>
      <c r="B22" s="5" t="s">
        <v>75</v>
      </c>
      <c r="C22" s="5" t="s">
        <v>26</v>
      </c>
      <c r="D22" s="5" t="s">
        <v>78</v>
      </c>
      <c r="E22" s="5" t="s">
        <v>79</v>
      </c>
    </row>
    <row r="23" spans="1:5" x14ac:dyDescent="0.25">
      <c r="A23" s="8">
        <v>20</v>
      </c>
      <c r="B23" s="9" t="s">
        <v>75</v>
      </c>
      <c r="C23" s="9" t="s">
        <v>26</v>
      </c>
      <c r="D23" s="9" t="s">
        <v>80</v>
      </c>
      <c r="E23" s="9" t="s">
        <v>81</v>
      </c>
    </row>
    <row r="24" spans="1:5" x14ac:dyDescent="0.25">
      <c r="A24" s="4">
        <v>21</v>
      </c>
      <c r="B24" s="5" t="s">
        <v>75</v>
      </c>
      <c r="C24" s="5" t="s">
        <v>22</v>
      </c>
      <c r="D24" s="5" t="s">
        <v>82</v>
      </c>
      <c r="E24" s="5" t="s">
        <v>83</v>
      </c>
    </row>
    <row r="25" spans="1:5" x14ac:dyDescent="0.25">
      <c r="A25" s="8">
        <v>22</v>
      </c>
      <c r="B25" s="9" t="s">
        <v>75</v>
      </c>
      <c r="C25" s="9" t="s">
        <v>22</v>
      </c>
      <c r="D25" s="9" t="s">
        <v>84</v>
      </c>
      <c r="E25" s="9" t="s">
        <v>85</v>
      </c>
    </row>
    <row r="26" spans="1:5" x14ac:dyDescent="0.25">
      <c r="A26" s="4">
        <v>23</v>
      </c>
      <c r="B26" s="5" t="s">
        <v>75</v>
      </c>
      <c r="C26" s="5" t="s">
        <v>22</v>
      </c>
      <c r="D26" s="5" t="s">
        <v>86</v>
      </c>
      <c r="E26" s="5" t="s">
        <v>87</v>
      </c>
    </row>
    <row r="27" spans="1:5" x14ac:dyDescent="0.25">
      <c r="A27" s="8">
        <v>24</v>
      </c>
      <c r="B27" s="9" t="s">
        <v>88</v>
      </c>
      <c r="C27" s="9" t="s">
        <v>10</v>
      </c>
      <c r="D27" s="9" t="s">
        <v>89</v>
      </c>
      <c r="E27" s="9" t="s">
        <v>90</v>
      </c>
    </row>
    <row r="28" spans="1:5" x14ac:dyDescent="0.25">
      <c r="A28" s="4">
        <v>25</v>
      </c>
      <c r="B28" s="5" t="s">
        <v>88</v>
      </c>
      <c r="C28" s="5" t="s">
        <v>10</v>
      </c>
      <c r="D28" s="5" t="s">
        <v>91</v>
      </c>
      <c r="E28" s="5" t="s">
        <v>92</v>
      </c>
    </row>
    <row r="29" spans="1:5" x14ac:dyDescent="0.25">
      <c r="A29" s="8">
        <v>26</v>
      </c>
      <c r="B29" s="9" t="s">
        <v>88</v>
      </c>
      <c r="C29" s="9" t="s">
        <v>10</v>
      </c>
      <c r="D29" s="9" t="s">
        <v>93</v>
      </c>
      <c r="E29" s="9" t="s">
        <v>94</v>
      </c>
    </row>
    <row r="30" spans="1:5" x14ac:dyDescent="0.25">
      <c r="A30" s="4">
        <v>27</v>
      </c>
      <c r="B30" s="5" t="s">
        <v>88</v>
      </c>
      <c r="C30" s="5" t="s">
        <v>10</v>
      </c>
      <c r="D30" s="5" t="s">
        <v>95</v>
      </c>
      <c r="E30" s="5" t="s">
        <v>96</v>
      </c>
    </row>
  </sheetData>
  <mergeCells count="1">
    <mergeCell ref="A1:E1"/>
  </mergeCells>
  <pageSetup paperSize="9" orientation="landscape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Phân công</vt:lpstr>
      <vt:lpstr>Commit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Nhóm 2</dc:creator>
  <dc:title>Bảng phân công Nhóm 2</dc:title>
  <dc:subject/>
  <dc:description/>
  <cp:keywords/>
  <cp:category/>
  <cp:lastModifiedBy>Nhóm 2</cp:lastModifiedBy>
  <dcterms:created xsi:type="dcterms:W3CDTF">2026-10-24T15:38:01Z</dcterms:created>
  <dcterms:modified xsi:type="dcterms:W3CDTF">2026-10-24T15:38:01Z</dcterms:modified>
</cp:coreProperties>
</file>